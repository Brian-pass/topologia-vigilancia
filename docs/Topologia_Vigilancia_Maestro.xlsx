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marilla\Downloads\"/>
    </mc:Choice>
  </mc:AlternateContent>
  <bookViews>
    <workbookView xWindow="0" yWindow="0" windowWidth="21570" windowHeight="7965" activeTab="1"/>
  </bookViews>
  <sheets>
    <sheet name="Camaras" sheetId="1" r:id="rId1"/>
    <sheet name="NVRs" sheetId="2" r:id="rId2"/>
    <sheet name="Equipos Cerrito" sheetId="3" r:id="rId3"/>
    <sheet name="Sucursales" sheetId="4" r:id="rId4"/>
    <sheet name="Centrales Regionales" sheetId="5" r:id="rId5"/>
    <sheet name="Central Principal" sheetId="6" r:id="rId6"/>
  </sheets>
  <calcPr calcId="162913"/>
</workbook>
</file>

<file path=xl/calcChain.xml><?xml version="1.0" encoding="utf-8"?>
<calcChain xmlns="http://schemas.openxmlformats.org/spreadsheetml/2006/main">
  <c r="E2" i="6" l="1"/>
  <c r="D2" i="6"/>
  <c r="E5" i="5"/>
  <c r="D5" i="5"/>
  <c r="E4" i="5"/>
  <c r="D4" i="5"/>
  <c r="D3" i="5"/>
  <c r="D2" i="5"/>
  <c r="C4" i="4"/>
  <c r="B4" i="4"/>
  <c r="B3" i="4"/>
  <c r="B2" i="4"/>
  <c r="G2" i="3"/>
  <c r="G4" i="2"/>
  <c r="C3" i="4" s="1"/>
  <c r="E3" i="5" s="1"/>
  <c r="G3" i="2"/>
  <c r="C2" i="4" s="1"/>
  <c r="E2" i="5" s="1"/>
  <c r="F2" i="6" s="1"/>
  <c r="G2" i="2"/>
</calcChain>
</file>

<file path=xl/sharedStrings.xml><?xml version="1.0" encoding="utf-8"?>
<sst xmlns="http://schemas.openxmlformats.org/spreadsheetml/2006/main" count="172" uniqueCount="90">
  <si>
    <t>Nombre</t>
  </si>
  <si>
    <t>IP</t>
  </si>
  <si>
    <t>Modelo</t>
  </si>
  <si>
    <t>S/N</t>
  </si>
  <si>
    <t>MAC</t>
  </si>
  <si>
    <t>Firmware</t>
  </si>
  <si>
    <t>Conectada a NVR</t>
  </si>
  <si>
    <t>Region</t>
  </si>
  <si>
    <t>CAM-CERRITO-001</t>
  </si>
  <si>
    <t>192.168.1.10</t>
  </si>
  <si>
    <t>DS-2CD2143G0-I</t>
  </si>
  <si>
    <t>SN50001</t>
  </si>
  <si>
    <t>00:AA:BB:CC:DD:01</t>
  </si>
  <si>
    <t>V5.4.0</t>
  </si>
  <si>
    <t>NVR-CERRITO-001</t>
  </si>
  <si>
    <t>CERRITO</t>
  </si>
  <si>
    <t>CAM-CERRITO-002</t>
  </si>
  <si>
    <t>192.168.1.11</t>
  </si>
  <si>
    <t>SN50002</t>
  </si>
  <si>
    <t>00:AA:BB:CC:DD:02</t>
  </si>
  <si>
    <t>CAM-SJ-001</t>
  </si>
  <si>
    <t>192.168.10.10</t>
  </si>
  <si>
    <t>SN54321</t>
  </si>
  <si>
    <t>00:AA:BB:CC:DD:EE</t>
  </si>
  <si>
    <t>NVR-SJ-001</t>
  </si>
  <si>
    <t>San Juan</t>
  </si>
  <si>
    <t>CAM-SJ-002</t>
  </si>
  <si>
    <t>192.168.10.11</t>
  </si>
  <si>
    <t>SN54322</t>
  </si>
  <si>
    <t>00:AA:BB:CC:DD:EF</t>
  </si>
  <si>
    <t>CAM-SJ-003</t>
  </si>
  <si>
    <t>192.168.10.12</t>
  </si>
  <si>
    <t>SN54323</t>
  </si>
  <si>
    <t>00:AA:BB:CC:DD:F0</t>
  </si>
  <si>
    <t>CAM-SJ-004</t>
  </si>
  <si>
    <t>192.168.10.13</t>
  </si>
  <si>
    <t>SN54324</t>
  </si>
  <si>
    <t>00:AA:BB:CC:DD:F1</t>
  </si>
  <si>
    <t>CAM-SC-001</t>
  </si>
  <si>
    <t>192.168.20.10</t>
  </si>
  <si>
    <t>SN54325</t>
  </si>
  <si>
    <t>00:AA:BB:CC:DD:F2</t>
  </si>
  <si>
    <t>NVR-SC-001</t>
  </si>
  <si>
    <t>Santa Cruz</t>
  </si>
  <si>
    <t>Cantidad de Camaras</t>
  </si>
  <si>
    <t>Conectado a</t>
  </si>
  <si>
    <t>Tipo Conexion</t>
  </si>
  <si>
    <t>192.168.1.1</t>
  </si>
  <si>
    <t>DS-7608NI-Q1/8P</t>
  </si>
  <si>
    <t>SN12340</t>
  </si>
  <si>
    <t>00:11:22:33:44:50</t>
  </si>
  <si>
    <t>V4.0.0</t>
  </si>
  <si>
    <t>HikCentral Cerrito</t>
  </si>
  <si>
    <t>Central Principal</t>
  </si>
  <si>
    <t>192.168.10.1</t>
  </si>
  <si>
    <t>SN12345</t>
  </si>
  <si>
    <t>00:11:22:33:44:55</t>
  </si>
  <si>
    <t>Las Lajas</t>
  </si>
  <si>
    <t>Sucursal</t>
  </si>
  <si>
    <t>192.168.20.1</t>
  </si>
  <si>
    <t>DS-7616NI-Q2/16P</t>
  </si>
  <si>
    <t>SN12346</t>
  </si>
  <si>
    <t>00:11:22:33:44:56</t>
  </si>
  <si>
    <t>NVR Chalten</t>
  </si>
  <si>
    <t>Cantidad de NVR</t>
  </si>
  <si>
    <t>Tamaño del Vinculo</t>
  </si>
  <si>
    <t>Conectada a Central</t>
  </si>
  <si>
    <t>10 Mbps</t>
  </si>
  <si>
    <t>HikCentral San Juan</t>
  </si>
  <si>
    <t>20 Mbps</t>
  </si>
  <si>
    <t>HikCentral Santa Cruz</t>
  </si>
  <si>
    <t>Marquesado</t>
  </si>
  <si>
    <t>Cantidad de Sucursales</t>
  </si>
  <si>
    <t>Conectada a Central Principal</t>
  </si>
  <si>
    <t>192.168.2.100</t>
  </si>
  <si>
    <t>00:1A:2B:3C:4D:5F</t>
  </si>
  <si>
    <t>192.168.3.100</t>
  </si>
  <si>
    <t>00:1A:2B:3C:4D:60</t>
  </si>
  <si>
    <t>HikCentral Entre Rios</t>
  </si>
  <si>
    <t>192.168.4.100</t>
  </si>
  <si>
    <t>00:1A:2B:3C:4D:61</t>
  </si>
  <si>
    <t>Entre Rios</t>
  </si>
  <si>
    <t>HikCentral Rosario</t>
  </si>
  <si>
    <t>192.168.5.100</t>
  </si>
  <si>
    <t>00:1A:2B:3C:4D:62</t>
  </si>
  <si>
    <t>Santa Fe</t>
  </si>
  <si>
    <t>Cantidad de Centrales Conectadas</t>
  </si>
  <si>
    <t>Cantidad de Camaras Totales</t>
  </si>
  <si>
    <t>192.168.1.100</t>
  </si>
  <si>
    <t>00:1A:2B:3C:4D:5E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</si>
</sst>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baseColWidth="10" defaultColWidth="9.140625" defaultRowHeight="15" x14ac:dyDescent="0.25"/>
  <cols>
    <col min="1" max="1" width="20" customWidth="1"/>
    <col min="2" max="2" width="15" customWidth="1"/>
    <col min="3" max="3" width="20" customWidth="1"/>
    <col min="4" max="4" width="15" customWidth="1"/>
    <col min="5" max="5" width="18" customWidth="1"/>
    <col min="6" max="6" width="12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2" t="s">
        <v>13</v>
      </c>
      <c r="G4" s="2" t="s">
        <v>24</v>
      </c>
      <c r="H4" s="2" t="s">
        <v>25</v>
      </c>
    </row>
    <row r="5" spans="1:8" x14ac:dyDescent="0.25">
      <c r="A5" s="2" t="s">
        <v>26</v>
      </c>
      <c r="B5" s="2" t="s">
        <v>27</v>
      </c>
      <c r="C5" s="2" t="s">
        <v>10</v>
      </c>
      <c r="D5" s="2" t="s">
        <v>28</v>
      </c>
      <c r="E5" s="2" t="s">
        <v>29</v>
      </c>
      <c r="F5" s="2" t="s">
        <v>13</v>
      </c>
      <c r="G5" s="2" t="s">
        <v>24</v>
      </c>
      <c r="H5" s="2" t="s">
        <v>25</v>
      </c>
    </row>
    <row r="6" spans="1:8" x14ac:dyDescent="0.25">
      <c r="A6" s="2" t="s">
        <v>30</v>
      </c>
      <c r="B6" s="2" t="s">
        <v>31</v>
      </c>
      <c r="C6" s="2" t="s">
        <v>10</v>
      </c>
      <c r="D6" s="2" t="s">
        <v>32</v>
      </c>
      <c r="E6" s="2" t="s">
        <v>33</v>
      </c>
      <c r="F6" s="2" t="s">
        <v>13</v>
      </c>
      <c r="G6" s="2" t="s">
        <v>24</v>
      </c>
      <c r="H6" s="2" t="s">
        <v>25</v>
      </c>
    </row>
    <row r="7" spans="1:8" x14ac:dyDescent="0.25">
      <c r="A7" s="2" t="s">
        <v>34</v>
      </c>
      <c r="B7" s="2" t="s">
        <v>35</v>
      </c>
      <c r="C7" s="2" t="s">
        <v>10</v>
      </c>
      <c r="D7" s="2" t="s">
        <v>36</v>
      </c>
      <c r="E7" s="2" t="s">
        <v>37</v>
      </c>
      <c r="F7" s="2" t="s">
        <v>13</v>
      </c>
      <c r="G7" s="2" t="s">
        <v>24</v>
      </c>
      <c r="H7" s="2" t="s">
        <v>25</v>
      </c>
    </row>
    <row r="8" spans="1:8" x14ac:dyDescent="0.25">
      <c r="A8" s="2" t="s">
        <v>38</v>
      </c>
      <c r="B8" s="2" t="s">
        <v>39</v>
      </c>
      <c r="C8" s="2" t="s">
        <v>10</v>
      </c>
      <c r="D8" s="2" t="s">
        <v>40</v>
      </c>
      <c r="E8" s="2" t="s">
        <v>41</v>
      </c>
      <c r="F8" s="2" t="s">
        <v>13</v>
      </c>
      <c r="G8" s="2" t="s">
        <v>42</v>
      </c>
      <c r="H8" s="2" t="s">
        <v>43</v>
      </c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workbookViewId="0"/>
  </sheetViews>
  <sheetFormatPr baseColWidth="10" defaultColWidth="9.140625" defaultRowHeight="15" x14ac:dyDescent="0.25"/>
  <cols>
    <col min="1" max="1" width="20" customWidth="1"/>
    <col min="2" max="2" width="15" customWidth="1"/>
    <col min="3" max="3" width="20" customWidth="1"/>
    <col min="4" max="4" width="15" customWidth="1"/>
    <col min="5" max="5" width="18" customWidth="1"/>
    <col min="6" max="6" width="12" customWidth="1"/>
    <col min="7" max="7" width="18" customWidth="1"/>
    <col min="8" max="8" width="20" customWidth="1"/>
    <col min="9" max="9" width="18" customWidth="1"/>
    <col min="10" max="10" width="1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45</v>
      </c>
      <c r="I1" s="1" t="s">
        <v>46</v>
      </c>
      <c r="J1" s="1" t="s">
        <v>7</v>
      </c>
    </row>
    <row r="2" spans="1:10" x14ac:dyDescent="0.25">
      <c r="A2" s="2" t="s">
        <v>14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>
        <f>COUNTIF(Camaras!G:G,A2)</f>
        <v>2</v>
      </c>
      <c r="H2" s="2" t="s">
        <v>52</v>
      </c>
      <c r="I2" s="2" t="s">
        <v>53</v>
      </c>
      <c r="J2" s="2" t="s">
        <v>15</v>
      </c>
    </row>
    <row r="3" spans="1:10" x14ac:dyDescent="0.25">
      <c r="A3" s="2" t="s">
        <v>24</v>
      </c>
      <c r="B3" s="2" t="s">
        <v>54</v>
      </c>
      <c r="C3" s="2" t="s">
        <v>48</v>
      </c>
      <c r="D3" s="2" t="s">
        <v>55</v>
      </c>
      <c r="E3" s="2" t="s">
        <v>56</v>
      </c>
      <c r="F3" s="2" t="s">
        <v>51</v>
      </c>
      <c r="G3" s="2">
        <f>COUNTIF(Camaras!G:G,A3)</f>
        <v>4</v>
      </c>
      <c r="H3" s="2" t="s">
        <v>57</v>
      </c>
      <c r="I3" s="2" t="s">
        <v>58</v>
      </c>
      <c r="J3" s="2" t="s">
        <v>25</v>
      </c>
    </row>
    <row r="4" spans="1:10" x14ac:dyDescent="0.25">
      <c r="A4" s="2" t="s">
        <v>42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51</v>
      </c>
      <c r="G4" s="2">
        <f>COUNTIF(Camaras!G:G,A4)</f>
        <v>1</v>
      </c>
      <c r="H4" s="2" t="s">
        <v>63</v>
      </c>
      <c r="I4" s="2" t="s">
        <v>58</v>
      </c>
      <c r="J4" s="2" t="s">
        <v>43</v>
      </c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baseColWidth="10" defaultColWidth="9.140625" defaultRowHeight="15" x14ac:dyDescent="0.25"/>
  <cols>
    <col min="1" max="1" width="20" customWidth="1"/>
    <col min="2" max="2" width="15" customWidth="1"/>
    <col min="3" max="3" width="20" customWidth="1"/>
    <col min="4" max="4" width="15" customWidth="1"/>
    <col min="5" max="5" width="18" customWidth="1"/>
    <col min="6" max="6" width="12" customWidth="1"/>
    <col min="7" max="7" width="18" customWidth="1"/>
    <col min="8" max="8" width="1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7</v>
      </c>
    </row>
    <row r="2" spans="1:8" x14ac:dyDescent="0.25">
      <c r="A2" s="2" t="s">
        <v>14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>
        <f>COUNTIF(Camaras!G:G,A2)</f>
        <v>2</v>
      </c>
      <c r="H2" s="2" t="s">
        <v>15</v>
      </c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/>
  </sheetViews>
  <sheetFormatPr baseColWidth="10" defaultColWidth="9.140625" defaultRowHeight="15" x14ac:dyDescent="0.25"/>
  <cols>
    <col min="1" max="1" width="25" customWidth="1"/>
    <col min="2" max="2" width="16" customWidth="1"/>
    <col min="3" max="4" width="18" customWidth="1"/>
    <col min="5" max="5" width="25" customWidth="1"/>
    <col min="6" max="6" width="15" customWidth="1"/>
  </cols>
  <sheetData>
    <row r="1" spans="1:6" ht="30" x14ac:dyDescent="0.25">
      <c r="A1" s="1" t="s">
        <v>0</v>
      </c>
      <c r="B1" s="1" t="s">
        <v>64</v>
      </c>
      <c r="C1" s="1" t="s">
        <v>44</v>
      </c>
      <c r="D1" s="1" t="s">
        <v>65</v>
      </c>
      <c r="E1" s="1" t="s">
        <v>66</v>
      </c>
      <c r="F1" s="1" t="s">
        <v>7</v>
      </c>
    </row>
    <row r="2" spans="1:6" x14ac:dyDescent="0.25">
      <c r="A2" s="2" t="s">
        <v>57</v>
      </c>
      <c r="B2" s="2">
        <f>COUNTIF(NVRs!H:H,A2)</f>
        <v>1</v>
      </c>
      <c r="C2" s="2">
        <f>SUMIF(NVRs!H:H,A2,NVRs!G:G)</f>
        <v>4</v>
      </c>
      <c r="D2" s="2" t="s">
        <v>67</v>
      </c>
      <c r="E2" s="2" t="s">
        <v>68</v>
      </c>
      <c r="F2" s="2" t="s">
        <v>25</v>
      </c>
    </row>
    <row r="3" spans="1:6" x14ac:dyDescent="0.25">
      <c r="A3" s="2" t="s">
        <v>63</v>
      </c>
      <c r="B3" s="2">
        <f>COUNTIF(NVRs!H:H,A3)</f>
        <v>1</v>
      </c>
      <c r="C3" s="2">
        <f>SUMIF(NVRs!H:H,A3,NVRs!G:G)</f>
        <v>1</v>
      </c>
      <c r="D3" s="2" t="s">
        <v>69</v>
      </c>
      <c r="E3" s="2" t="s">
        <v>70</v>
      </c>
      <c r="F3" s="2" t="s">
        <v>43</v>
      </c>
    </row>
    <row r="4" spans="1:6" x14ac:dyDescent="0.25">
      <c r="A4" s="2" t="s">
        <v>71</v>
      </c>
      <c r="B4" s="2">
        <f>COUNTIF(NVRs!H:H,A4)</f>
        <v>0</v>
      </c>
      <c r="C4" s="2">
        <f>SUMIF(NVRs!H:H,A4,NVRs!G:G)</f>
        <v>0</v>
      </c>
      <c r="D4" s="2" t="s">
        <v>67</v>
      </c>
      <c r="E4" s="2" t="s">
        <v>68</v>
      </c>
      <c r="F4" s="2" t="s">
        <v>25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18" customWidth="1"/>
    <col min="4" max="4" width="20" customWidth="1"/>
    <col min="5" max="5" width="18" customWidth="1"/>
    <col min="6" max="6" width="15" customWidth="1"/>
    <col min="7" max="7" width="28" customWidth="1"/>
  </cols>
  <sheetData>
    <row r="1" spans="1:7" ht="30" x14ac:dyDescent="0.25">
      <c r="A1" s="1" t="s">
        <v>0</v>
      </c>
      <c r="B1" s="1" t="s">
        <v>1</v>
      </c>
      <c r="C1" s="1" t="s">
        <v>4</v>
      </c>
      <c r="D1" s="1" t="s">
        <v>72</v>
      </c>
      <c r="E1" s="1" t="s">
        <v>44</v>
      </c>
      <c r="F1" s="1" t="s">
        <v>7</v>
      </c>
      <c r="G1" s="1" t="s">
        <v>73</v>
      </c>
    </row>
    <row r="2" spans="1:7" x14ac:dyDescent="0.25">
      <c r="A2" s="2" t="s">
        <v>68</v>
      </c>
      <c r="B2" s="2" t="s">
        <v>74</v>
      </c>
      <c r="C2" s="2" t="s">
        <v>75</v>
      </c>
      <c r="D2" s="2">
        <f>COUNTIF(Sucursales!E:E,A2)</f>
        <v>2</v>
      </c>
      <c r="E2" s="2">
        <f>SUMIF(Sucursales!E:E,A2,Sucursales!C:C)</f>
        <v>4</v>
      </c>
      <c r="F2" s="2" t="s">
        <v>25</v>
      </c>
      <c r="G2" s="2" t="s">
        <v>52</v>
      </c>
    </row>
    <row r="3" spans="1:7" x14ac:dyDescent="0.25">
      <c r="A3" s="2" t="s">
        <v>70</v>
      </c>
      <c r="B3" s="2" t="s">
        <v>76</v>
      </c>
      <c r="C3" s="2" t="s">
        <v>77</v>
      </c>
      <c r="D3" s="2">
        <f>COUNTIF(Sucursales!E:E,A3)</f>
        <v>1</v>
      </c>
      <c r="E3" s="2">
        <f>SUMIF(Sucursales!E:E,A3,Sucursales!C:C)</f>
        <v>1</v>
      </c>
      <c r="F3" s="2" t="s">
        <v>43</v>
      </c>
      <c r="G3" s="2" t="s">
        <v>52</v>
      </c>
    </row>
    <row r="4" spans="1:7" x14ac:dyDescent="0.25">
      <c r="A4" s="2" t="s">
        <v>78</v>
      </c>
      <c r="B4" s="2" t="s">
        <v>79</v>
      </c>
      <c r="C4" s="2" t="s">
        <v>80</v>
      </c>
      <c r="D4" s="2">
        <f>COUNTIF(Sucursales!E:E,A4)</f>
        <v>0</v>
      </c>
      <c r="E4" s="2">
        <f>SUMIF(Sucursales!E:E,A4,Sucursales!C:C)</f>
        <v>0</v>
      </c>
      <c r="F4" s="2" t="s">
        <v>81</v>
      </c>
      <c r="G4" s="2" t="s">
        <v>52</v>
      </c>
    </row>
    <row r="5" spans="1:7" x14ac:dyDescent="0.25">
      <c r="A5" s="2" t="s">
        <v>82</v>
      </c>
      <c r="B5" s="2" t="s">
        <v>83</v>
      </c>
      <c r="C5" s="2" t="s">
        <v>84</v>
      </c>
      <c r="D5" s="2">
        <f>COUNTIF(Sucursales!E:E,A5)</f>
        <v>0</v>
      </c>
      <c r="E5" s="2">
        <f>SUMIF(Sucursales!E:E,A5,Sucursales!C:C)</f>
        <v>0</v>
      </c>
      <c r="F5" s="2" t="s">
        <v>85</v>
      </c>
      <c r="G5" s="2" t="s">
        <v>52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4" width="18" customWidth="1"/>
    <col min="5" max="5" width="28" customWidth="1"/>
    <col min="6" max="6" width="25" customWidth="1"/>
    <col min="7" max="7" width="15" customWidth="1"/>
  </cols>
  <sheetData>
    <row r="1" spans="1:7" ht="30" x14ac:dyDescent="0.25">
      <c r="A1" s="1" t="s">
        <v>0</v>
      </c>
      <c r="B1" s="1" t="s">
        <v>1</v>
      </c>
      <c r="C1" s="1" t="s">
        <v>4</v>
      </c>
      <c r="D1" s="1" t="s">
        <v>64</v>
      </c>
      <c r="E1" s="1" t="s">
        <v>86</v>
      </c>
      <c r="F1" s="1" t="s">
        <v>87</v>
      </c>
      <c r="G1" s="1" t="s">
        <v>7</v>
      </c>
    </row>
    <row r="2" spans="1:7" x14ac:dyDescent="0.25">
      <c r="A2" s="2" t="s">
        <v>52</v>
      </c>
      <c r="B2" s="2" t="s">
        <v>88</v>
      </c>
      <c r="C2" s="2" t="s">
        <v>89</v>
      </c>
      <c r="D2" s="2">
        <f>COUNTA(NVRs!A:A)-1</f>
        <v>3</v>
      </c>
      <c r="E2" s="2">
        <f>COUNTA('Centrales Regionales'!A:A)-1</f>
        <v>4</v>
      </c>
      <c r="F2" s="2">
        <f>SUM('Centrales Regionales'!E:E)+SUMIF('Equipos Cerrito'!H:H,"CERRITO",'Equipos Cerrito'!G:G)</f>
        <v>7</v>
      </c>
      <c r="G2" s="2" t="s">
        <v>15</v>
      </c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Camaras</vt:lpstr>
      <vt:lpstr>NVRs</vt:lpstr>
      <vt:lpstr>Equipos Cerrito</vt:lpstr>
      <vt:lpstr>Sucursales</vt:lpstr>
      <vt:lpstr>Centrales Regionales</vt:lpstr>
      <vt:lpstr>Central 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Braian amarilla</cp:lastModifiedBy>
  <dcterms:created xsi:type="dcterms:W3CDTF">2026-07-15T15:12:36Z</dcterms:created>
  <dcterms:modified xsi:type="dcterms:W3CDTF">2026-07-15T15:46:09Z</dcterms:modified>
</cp:coreProperties>
</file>